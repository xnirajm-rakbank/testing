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akbank-my.sharepoint.com/personal/niraj_modi_rakbank_ae/Documents/Documents/"/>
    </mc:Choice>
  </mc:AlternateContent>
  <xr:revisionPtr revIDLastSave="170" documentId="13_ncr:1_{24FC165A-E237-4CFE-ACA4-38F2D1EFF2C2}" xr6:coauthVersionLast="47" xr6:coauthVersionMax="47" xr10:uidLastSave="{9BD9A639-3058-4A02-BCDD-2D9F20F8F999}"/>
  <bookViews>
    <workbookView xWindow="-120" yWindow="-120" windowWidth="25440" windowHeight="15390" xr2:uid="{00000000-000D-0000-FFFF-FFFF00000000}"/>
  </bookViews>
  <sheets>
    <sheet name="Weekly Tim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kJY4arPc5Ncy9w8lEsBVJFJsFIFeqczVbJ2TQ9h4Fk="/>
    </ext>
  </extLst>
</workbook>
</file>

<file path=xl/calcChain.xml><?xml version="1.0" encoding="utf-8"?>
<calcChain xmlns="http://schemas.openxmlformats.org/spreadsheetml/2006/main">
  <c r="H12" i="1" l="1"/>
  <c r="H41" i="1"/>
  <c r="G41" i="1"/>
  <c r="F41" i="1"/>
  <c r="H16" i="1"/>
  <c r="G42" i="1"/>
  <c r="H42" i="1" s="1"/>
  <c r="G40" i="1"/>
  <c r="H40" i="1" s="1"/>
  <c r="G39" i="1"/>
  <c r="H39" i="1" s="1"/>
  <c r="G38" i="1"/>
  <c r="H38" i="1" s="1"/>
  <c r="G37" i="1"/>
  <c r="H37" i="1" s="1"/>
  <c r="G36" i="1"/>
  <c r="H36" i="1" s="1"/>
  <c r="H35" i="1"/>
  <c r="H34" i="1"/>
  <c r="H33" i="1"/>
  <c r="H32" i="1"/>
  <c r="H31" i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5" i="1"/>
  <c r="H15" i="1" s="1"/>
  <c r="G14" i="1"/>
  <c r="H14" i="1" s="1"/>
  <c r="G13" i="1"/>
  <c r="H13" i="1" s="1"/>
  <c r="G12" i="1"/>
  <c r="F42" i="1"/>
  <c r="F40" i="1"/>
  <c r="F39" i="1"/>
  <c r="F38" i="1"/>
  <c r="F37" i="1"/>
  <c r="F36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5" i="1"/>
  <c r="F14" i="1"/>
  <c r="F13" i="1"/>
  <c r="F12" i="1"/>
  <c r="N44" i="1"/>
  <c r="N44" i="1" a="1"/>
</calcChain>
</file>

<file path=xl/sharedStrings.xml><?xml version="1.0" encoding="utf-8"?>
<sst xmlns="http://schemas.openxmlformats.org/spreadsheetml/2006/main" count="98" uniqueCount="31">
  <si>
    <t>Monthly Time Sheet</t>
  </si>
  <si>
    <t>Commercial Bank International (CBI) Building</t>
  </si>
  <si>
    <t>Employee:</t>
  </si>
  <si>
    <t>Niraj Modi</t>
  </si>
  <si>
    <t>03rd Floor, Al Rigga Road, PO Box 45384, (Opposite KFC),</t>
  </si>
  <si>
    <t>Manager:</t>
  </si>
  <si>
    <t>Al Rigga, Deira, Dubai, UAE</t>
  </si>
  <si>
    <t xml:space="preserve">Client </t>
  </si>
  <si>
    <t>Rak Bank</t>
  </si>
  <si>
    <t>Board Number: +971 4 2977667</t>
  </si>
  <si>
    <t>Employee phone:</t>
  </si>
  <si>
    <t>Employee e-mail:</t>
  </si>
  <si>
    <t>nirajmodi51@gmail.com</t>
  </si>
  <si>
    <t>Month:</t>
  </si>
  <si>
    <t>Day-Date</t>
  </si>
  <si>
    <t xml:space="preserve">Job Description </t>
  </si>
  <si>
    <t>Time In
HH:MM AM/PM</t>
  </si>
  <si>
    <t>Time Out
HH:MM AM/PM</t>
  </si>
  <si>
    <t>Hours Worked</t>
  </si>
  <si>
    <t>Monday</t>
  </si>
  <si>
    <t>AL ML Engineer</t>
  </si>
  <si>
    <t>Tuesday</t>
  </si>
  <si>
    <t>Wednesday</t>
  </si>
  <si>
    <t>Thursday</t>
  </si>
  <si>
    <t>Friday</t>
  </si>
  <si>
    <t>Saturday</t>
  </si>
  <si>
    <t>Sunday</t>
  </si>
  <si>
    <t>Line Manager:</t>
  </si>
  <si>
    <t>Himanshu Tyagi</t>
  </si>
  <si>
    <t>Weekly Off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</si>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</sst>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6">
    <font>
      <sz val="10"/>
      <color rgb="FF000000"/>
      <name val="Arial"/>
      <scheme val="minor"/>
    </font>
    <font>
      <sz val="10"/>
      <color theme="1"/>
      <name val="Century Gothic"/>
    </font>
    <font>
      <b/>
      <sz val="22"/>
      <color rgb="FFBCBCBC"/>
      <name val="Century Gothic"/>
    </font>
    <font>
      <sz val="28"/>
      <color theme="1"/>
      <name val="Century Gothic"/>
    </font>
    <font>
      <b/>
      <sz val="9"/>
      <color rgb="FF808080"/>
      <name val="Century Gothic"/>
    </font>
    <font>
      <sz val="9"/>
      <color rgb="FF7F7F7F"/>
      <name val="Century Gothic"/>
    </font>
    <font>
      <sz val="9"/>
      <color rgb="FF808080"/>
      <name val="Century Gothic"/>
    </font>
    <font>
      <sz val="9"/>
      <color rgb="FF222222"/>
      <name val="Zoho_Puvi_Regular"/>
    </font>
    <font>
      <sz val="9"/>
      <color theme="1"/>
      <name val="Century Gothic"/>
    </font>
    <font>
      <u/>
      <sz val="10"/>
      <color rgb="FF6896CE"/>
      <name val="Arial"/>
    </font>
    <font>
      <b/>
      <sz val="9"/>
      <color theme="1"/>
      <name val="Century Gothic"/>
    </font>
    <font>
      <sz val="10"/>
      <name val="Arial"/>
    </font>
    <font>
      <sz val="8"/>
      <color theme="1"/>
      <name val="Century Gothic"/>
    </font>
    <font>
      <sz val="10"/>
      <color rgb="FF808080"/>
      <name val="Century Gothic"/>
    </font>
    <font>
      <sz val="8"/>
      <color rgb="FF808080"/>
      <name val="Century Gothic"/>
    </font>
    <font>
      <sz val="8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CFCF"/>
        <bgColor rgb="FFCFCFCF"/>
      </patternFill>
    </fill>
    <fill>
      <patternFill patternType="solid">
        <fgColor rgb="FFFFFF00"/>
        <bgColor rgb="FFD8D8D8"/>
      </patternFill>
    </fill>
    <fill>
      <patternFill patternType="solid">
        <fgColor rgb="FFFFFF00"/>
        <bgColor rgb="FFCFCFCF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rgb="FFCFCFC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D8D8D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3" borderId="2" xfId="0" applyFont="1" applyFill="1" applyBorder="1"/>
    <xf numFmtId="0" fontId="5" fillId="0" borderId="0" xfId="0" applyFont="1"/>
    <xf numFmtId="0" fontId="8" fillId="0" borderId="3" xfId="0" applyFont="1" applyBorder="1"/>
    <xf numFmtId="0" fontId="6" fillId="0" borderId="0" xfId="0" applyFont="1"/>
    <xf numFmtId="0" fontId="9" fillId="3" borderId="2" xfId="0" applyFont="1" applyFill="1" applyBorder="1"/>
    <xf numFmtId="0" fontId="4" fillId="3" borderId="1" xfId="0" applyFont="1" applyFill="1" applyBorder="1" applyAlignment="1">
      <alignment horizontal="left"/>
    </xf>
    <xf numFmtId="17" fontId="4" fillId="3" borderId="1" xfId="0" applyNumberFormat="1" applyFont="1" applyFill="1" applyBorder="1" applyAlignment="1">
      <alignment horizontal="left"/>
    </xf>
    <xf numFmtId="14" fontId="8" fillId="0" borderId="0" xfId="0" applyNumberFormat="1" applyFont="1"/>
    <xf numFmtId="0" fontId="8" fillId="0" borderId="0" xfId="0" applyFont="1"/>
    <xf numFmtId="0" fontId="10" fillId="4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8" fillId="0" borderId="10" xfId="0" applyNumberFormat="1" applyFont="1" applyBorder="1" applyAlignment="1">
      <alignment horizontal="left"/>
    </xf>
    <xf numFmtId="0" fontId="13" fillId="0" borderId="0" xfId="0" applyFont="1"/>
    <xf numFmtId="14" fontId="14" fillId="0" borderId="11" xfId="0" applyNumberFormat="1" applyFont="1" applyBorder="1" applyAlignment="1">
      <alignment horizontal="left" vertical="center"/>
    </xf>
    <xf numFmtId="0" fontId="10" fillId="5" borderId="7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left" vertical="center"/>
    </xf>
    <xf numFmtId="0" fontId="8" fillId="8" borderId="0" xfId="0" applyFont="1" applyFill="1"/>
    <xf numFmtId="0" fontId="10" fillId="9" borderId="4" xfId="0" applyFont="1" applyFill="1" applyBorder="1" applyAlignment="1">
      <alignment horizontal="left" vertical="center"/>
    </xf>
    <xf numFmtId="0" fontId="10" fillId="9" borderId="7" xfId="0" applyFont="1" applyFill="1" applyBorder="1" applyAlignment="1">
      <alignment horizontal="center" vertical="center"/>
    </xf>
    <xf numFmtId="20" fontId="10" fillId="9" borderId="7" xfId="0" applyNumberFormat="1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20" fontId="10" fillId="6" borderId="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0" fillId="4" borderId="4" xfId="0" applyFont="1" applyFill="1" applyBorder="1" applyAlignment="1">
      <alignment horizontal="left" vertical="center"/>
    </xf>
    <xf numFmtId="0" fontId="11" fillId="0" borderId="5" xfId="0" applyFont="1" applyBorder="1"/>
    <xf numFmtId="0" fontId="11" fillId="0" borderId="6" xfId="0" applyFont="1" applyBorder="1"/>
    <xf numFmtId="15" fontId="10" fillId="9" borderId="4" xfId="0" applyNumberFormat="1" applyFont="1" applyFill="1" applyBorder="1" applyAlignment="1">
      <alignment horizontal="center" vertical="center"/>
    </xf>
    <xf numFmtId="0" fontId="11" fillId="10" borderId="6" xfId="0" applyFont="1" applyFill="1" applyBorder="1"/>
    <xf numFmtId="15" fontId="10" fillId="6" borderId="4" xfId="0" applyNumberFormat="1" applyFont="1" applyFill="1" applyBorder="1" applyAlignment="1">
      <alignment horizontal="center" vertical="center"/>
    </xf>
    <xf numFmtId="0" fontId="11" fillId="7" borderId="6" xfId="0" applyFont="1" applyFill="1" applyBorder="1"/>
    <xf numFmtId="0" fontId="8" fillId="3" borderId="8" xfId="0" applyFont="1" applyFill="1" applyBorder="1" applyAlignment="1">
      <alignment horizontal="left"/>
    </xf>
    <xf numFmtId="0" fontId="11" fillId="0" borderId="9" xfId="0" applyFont="1" applyBorder="1"/>
    <xf numFmtId="0" fontId="8" fillId="0" borderId="10" xfId="0" quotePrefix="1" applyFont="1" applyBorder="1" applyAlignment="1">
      <alignment horizontal="left"/>
    </xf>
    <xf numFmtId="0" fontId="11" fillId="0" borderId="10" xfId="0" applyFont="1" applyBorder="1"/>
    <xf numFmtId="0" fontId="10" fillId="9" borderId="1" xfId="0" applyFont="1" applyFill="1" applyBorder="1" applyAlignment="1">
      <alignment horizontal="left" vertical="center"/>
    </xf>
    <xf numFmtId="15" fontId="10" fillId="9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/>
    <xf numFmtId="0" fontId="10" fillId="11" borderId="1" xfId="0" applyFont="1" applyFill="1" applyBorder="1" applyAlignment="1">
      <alignment horizontal="center" vertical="center"/>
    </xf>
    <xf numFmtId="20" fontId="10" fillId="9" borderId="1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123825</xdr:rowOff>
    </xdr:from>
    <xdr:ext cx="3695700" cy="5619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rajmodi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25F"/>
  </sheetPr>
  <dimension ref="A1:Z1012"/>
  <sheetViews>
    <sheetView showGridLines="0" tabSelected="1" topLeftCell="A30" workbookViewId="0">
      <selection activeCell="H19" sqref="H19"/>
    </sheetView>
  </sheetViews>
  <sheetFormatPr defaultColWidth="12.5703125" defaultRowHeight="15" customHeight="1"/>
  <cols>
    <col min="1" max="1" width="2.42578125" customWidth="1"/>
    <col min="2" max="2" width="11.5703125" customWidth="1"/>
    <col min="3" max="3" width="4.42578125" customWidth="1"/>
    <col min="4" max="4" width="9.42578125" customWidth="1"/>
    <col min="5" max="5" width="37.42578125" customWidth="1"/>
    <col min="6" max="6" width="14" customWidth="1"/>
    <col min="7" max="7" width="13.85546875" customWidth="1"/>
    <col min="8" max="8" width="40.5703125" customWidth="1"/>
    <col min="9" max="26" width="8.85546875" customWidth="1"/>
  </cols>
  <sheetData>
    <row r="1" spans="1:26" ht="36" customHeight="1">
      <c r="A1" s="1"/>
      <c r="B1" s="33"/>
      <c r="C1" s="34"/>
      <c r="D1" s="34"/>
      <c r="E1" s="34"/>
      <c r="F1" s="35" t="s">
        <v>0</v>
      </c>
      <c r="G1" s="34"/>
      <c r="H1" s="3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6" customHeight="1">
      <c r="A2" s="1"/>
      <c r="B2" s="34"/>
      <c r="C2" s="34"/>
      <c r="D2" s="34"/>
      <c r="E2" s="34"/>
      <c r="F2" s="2"/>
      <c r="G2" s="2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"/>
      <c r="D3" s="1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/>
      <c r="B4" s="36" t="s">
        <v>1</v>
      </c>
      <c r="C4" s="34"/>
      <c r="D4" s="34"/>
      <c r="E4" s="34"/>
      <c r="F4" s="6" t="s">
        <v>2</v>
      </c>
      <c r="G4" s="6"/>
      <c r="H4" s="7" t="s">
        <v>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36" t="s">
        <v>4</v>
      </c>
      <c r="C5" s="34"/>
      <c r="D5" s="34"/>
      <c r="E5" s="34"/>
      <c r="F5" s="6" t="s">
        <v>5</v>
      </c>
      <c r="G5" s="6"/>
      <c r="H5" s="8" t="s">
        <v>28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9" t="s">
        <v>6</v>
      </c>
      <c r="C6" s="5"/>
      <c r="D6" s="5"/>
      <c r="E6" s="5"/>
      <c r="F6" s="6" t="s">
        <v>7</v>
      </c>
      <c r="G6" s="6"/>
      <c r="H6" s="10" t="s">
        <v>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/>
      <c r="B7" s="36" t="s">
        <v>9</v>
      </c>
      <c r="C7" s="34"/>
      <c r="D7" s="34"/>
      <c r="E7" s="34"/>
      <c r="F7" s="6" t="s">
        <v>10</v>
      </c>
      <c r="G7" s="6"/>
      <c r="H7" s="32">
        <v>545454438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/>
      <c r="B8" s="11"/>
      <c r="C8" s="11"/>
      <c r="D8" s="11"/>
      <c r="E8" s="11"/>
      <c r="F8" s="6" t="s">
        <v>11</v>
      </c>
      <c r="G8" s="6"/>
      <c r="H8" s="12" t="s">
        <v>12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/>
      <c r="B9" s="13" t="s">
        <v>13</v>
      </c>
      <c r="C9" s="14"/>
      <c r="D9" s="14">
        <v>45931</v>
      </c>
      <c r="E9" s="1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16"/>
      <c r="B11" s="37" t="s">
        <v>14</v>
      </c>
      <c r="C11" s="38"/>
      <c r="D11" s="39"/>
      <c r="E11" s="17" t="s">
        <v>15</v>
      </c>
      <c r="F11" s="18" t="s">
        <v>16</v>
      </c>
      <c r="G11" s="18" t="s">
        <v>17</v>
      </c>
      <c r="H11" s="17" t="s">
        <v>18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7" customHeight="1">
      <c r="A12" s="16"/>
      <c r="B12" s="27" t="s">
        <v>22</v>
      </c>
      <c r="C12" s="40">
        <v>45931</v>
      </c>
      <c r="D12" s="41"/>
      <c r="E12" s="28" t="s">
        <v>20</v>
      </c>
      <c r="F12" s="29" t="str">
        <f>IF(OR(B12="Saturday", B12="Sunday"),"Weekly Off","08:30")</f>
        <v>08:30</v>
      </c>
      <c r="G12" s="29" t="str">
        <f>IF(OR(B12="Saturday", B12="Sunday"),"Weekly Off","17:30")</f>
        <v>17:30</v>
      </c>
      <c r="H12" s="29" t="str">
        <f>IF(G12="17:30", "9","0")</f>
        <v>9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7" customHeight="1">
      <c r="A13" s="16"/>
      <c r="B13" s="27" t="s">
        <v>23</v>
      </c>
      <c r="C13" s="40">
        <v>45932</v>
      </c>
      <c r="D13" s="41"/>
      <c r="E13" s="28" t="s">
        <v>20</v>
      </c>
      <c r="F13" s="29" t="str">
        <f t="shared" ref="F13:F41" si="0">IF(OR(B13="Saturday", B13="Sunday"),"Weekly Off","08:30")</f>
        <v>08:30</v>
      </c>
      <c r="G13" s="29" t="str">
        <f t="shared" ref="G13:G41" si="1">IF(OR(B13="Saturday", B13="Sunday"),"Weekly Off","17:30")</f>
        <v>17:30</v>
      </c>
      <c r="H13" s="29" t="str">
        <f>IF(G13="17:30", "9","0")</f>
        <v>9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7" customHeight="1">
      <c r="A14" s="16"/>
      <c r="B14" s="27" t="s">
        <v>24</v>
      </c>
      <c r="C14" s="40">
        <v>45933</v>
      </c>
      <c r="D14" s="41"/>
      <c r="E14" s="28" t="s">
        <v>20</v>
      </c>
      <c r="F14" s="29" t="str">
        <f t="shared" si="0"/>
        <v>08:30</v>
      </c>
      <c r="G14" s="29" t="str">
        <f t="shared" si="1"/>
        <v>17:30</v>
      </c>
      <c r="H14" s="29" t="str">
        <f t="shared" ref="H14:H41" si="2">IF(G14="17:30", "9","0")</f>
        <v>9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7" customHeight="1">
      <c r="A15" s="16"/>
      <c r="B15" s="25" t="s">
        <v>25</v>
      </c>
      <c r="C15" s="42">
        <v>45934</v>
      </c>
      <c r="D15" s="43"/>
      <c r="E15" s="53" t="s">
        <v>20</v>
      </c>
      <c r="F15" s="31" t="str">
        <f t="shared" si="0"/>
        <v>Weekly Off</v>
      </c>
      <c r="G15" s="31" t="str">
        <f t="shared" si="1"/>
        <v>Weekly Off</v>
      </c>
      <c r="H15" s="31" t="str">
        <f t="shared" si="2"/>
        <v>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7" customHeight="1">
      <c r="A16" s="16"/>
      <c r="B16" s="25" t="s">
        <v>26</v>
      </c>
      <c r="C16" s="42">
        <v>45935</v>
      </c>
      <c r="D16" s="43"/>
      <c r="E16" s="53" t="s">
        <v>20</v>
      </c>
      <c r="F16" s="31" t="s">
        <v>29</v>
      </c>
      <c r="G16" s="31" t="s">
        <v>29</v>
      </c>
      <c r="H16" s="31" t="str">
        <f t="shared" si="2"/>
        <v>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7" customHeight="1">
      <c r="A17" s="16"/>
      <c r="B17" s="27" t="s">
        <v>19</v>
      </c>
      <c r="C17" s="40">
        <v>45936</v>
      </c>
      <c r="D17" s="41"/>
      <c r="E17" s="30" t="s">
        <v>20</v>
      </c>
      <c r="F17" s="29" t="str">
        <f t="shared" si="0"/>
        <v>08:30</v>
      </c>
      <c r="G17" s="29" t="str">
        <f t="shared" si="1"/>
        <v>17:30</v>
      </c>
      <c r="H17" s="29" t="str">
        <f t="shared" si="2"/>
        <v>9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7" customHeight="1">
      <c r="A18" s="16"/>
      <c r="B18" s="27" t="s">
        <v>21</v>
      </c>
      <c r="C18" s="40">
        <v>45937</v>
      </c>
      <c r="D18" s="41"/>
      <c r="E18" s="30" t="s">
        <v>20</v>
      </c>
      <c r="F18" s="29" t="str">
        <f t="shared" si="0"/>
        <v>08:30</v>
      </c>
      <c r="G18" s="29" t="str">
        <f t="shared" si="1"/>
        <v>17:30</v>
      </c>
      <c r="H18" s="29" t="str">
        <f t="shared" si="2"/>
        <v>9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7" customHeight="1">
      <c r="A19" s="16"/>
      <c r="B19" s="27" t="s">
        <v>22</v>
      </c>
      <c r="C19" s="40">
        <v>45938</v>
      </c>
      <c r="D19" s="41"/>
      <c r="E19" s="30" t="s">
        <v>20</v>
      </c>
      <c r="F19" s="29" t="str">
        <f t="shared" si="0"/>
        <v>08:30</v>
      </c>
      <c r="G19" s="29" t="str">
        <f t="shared" si="1"/>
        <v>17:30</v>
      </c>
      <c r="H19" s="29" t="str">
        <f t="shared" si="2"/>
        <v>9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7" customHeight="1">
      <c r="A20" s="16"/>
      <c r="B20" s="27" t="s">
        <v>23</v>
      </c>
      <c r="C20" s="40">
        <v>45939</v>
      </c>
      <c r="D20" s="41"/>
      <c r="E20" s="30" t="s">
        <v>20</v>
      </c>
      <c r="F20" s="29" t="str">
        <f t="shared" si="0"/>
        <v>08:30</v>
      </c>
      <c r="G20" s="29" t="str">
        <f t="shared" si="1"/>
        <v>17:30</v>
      </c>
      <c r="H20" s="29" t="str">
        <f t="shared" si="2"/>
        <v>9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7" customHeight="1">
      <c r="A21" s="16"/>
      <c r="B21" s="27" t="s">
        <v>24</v>
      </c>
      <c r="C21" s="40">
        <v>45940</v>
      </c>
      <c r="D21" s="41"/>
      <c r="E21" s="30" t="s">
        <v>20</v>
      </c>
      <c r="F21" s="29" t="str">
        <f t="shared" si="0"/>
        <v>08:30</v>
      </c>
      <c r="G21" s="29" t="str">
        <f t="shared" si="1"/>
        <v>17:30</v>
      </c>
      <c r="H21" s="29" t="str">
        <f t="shared" si="2"/>
        <v>9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7" customHeight="1">
      <c r="A22" s="16"/>
      <c r="B22" s="25" t="s">
        <v>25</v>
      </c>
      <c r="C22" s="42">
        <v>45941</v>
      </c>
      <c r="D22" s="43"/>
      <c r="E22" s="24" t="s">
        <v>20</v>
      </c>
      <c r="F22" s="31" t="str">
        <f t="shared" si="0"/>
        <v>Weekly Off</v>
      </c>
      <c r="G22" s="31" t="str">
        <f t="shared" si="1"/>
        <v>Weekly Off</v>
      </c>
      <c r="H22" s="31" t="str">
        <f t="shared" si="2"/>
        <v>0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7" customHeight="1">
      <c r="A23" s="16"/>
      <c r="B23" s="25" t="s">
        <v>26</v>
      </c>
      <c r="C23" s="42">
        <v>45942</v>
      </c>
      <c r="D23" s="43"/>
      <c r="E23" s="24" t="s">
        <v>20</v>
      </c>
      <c r="F23" s="31" t="str">
        <f t="shared" si="0"/>
        <v>Weekly Off</v>
      </c>
      <c r="G23" s="31" t="str">
        <f t="shared" si="1"/>
        <v>Weekly Off</v>
      </c>
      <c r="H23" s="31" t="str">
        <f t="shared" si="2"/>
        <v>0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7" customHeight="1">
      <c r="A24" s="16"/>
      <c r="B24" s="27" t="s">
        <v>19</v>
      </c>
      <c r="C24" s="40">
        <v>45943</v>
      </c>
      <c r="D24" s="41"/>
      <c r="E24" s="30" t="s">
        <v>20</v>
      </c>
      <c r="F24" s="29" t="str">
        <f t="shared" si="0"/>
        <v>08:30</v>
      </c>
      <c r="G24" s="29" t="str">
        <f t="shared" si="1"/>
        <v>17:30</v>
      </c>
      <c r="H24" s="29" t="str">
        <f t="shared" si="2"/>
        <v>9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7" customHeight="1">
      <c r="A25" s="16"/>
      <c r="B25" s="27" t="s">
        <v>21</v>
      </c>
      <c r="C25" s="40">
        <v>45944</v>
      </c>
      <c r="D25" s="41"/>
      <c r="E25" s="30" t="s">
        <v>20</v>
      </c>
      <c r="F25" s="29" t="str">
        <f t="shared" si="0"/>
        <v>08:30</v>
      </c>
      <c r="G25" s="29" t="str">
        <f t="shared" si="1"/>
        <v>17:30</v>
      </c>
      <c r="H25" s="29" t="str">
        <f t="shared" si="2"/>
        <v>9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7" customHeight="1">
      <c r="A26" s="16"/>
      <c r="B26" s="27" t="s">
        <v>22</v>
      </c>
      <c r="C26" s="40">
        <v>45945</v>
      </c>
      <c r="D26" s="41"/>
      <c r="E26" s="30" t="s">
        <v>20</v>
      </c>
      <c r="F26" s="29" t="str">
        <f t="shared" si="0"/>
        <v>08:30</v>
      </c>
      <c r="G26" s="29" t="str">
        <f t="shared" si="1"/>
        <v>17:30</v>
      </c>
      <c r="H26" s="29" t="str">
        <f t="shared" si="2"/>
        <v>9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7" customHeight="1">
      <c r="A27" s="16"/>
      <c r="B27" s="27" t="s">
        <v>23</v>
      </c>
      <c r="C27" s="40">
        <v>45946</v>
      </c>
      <c r="D27" s="41"/>
      <c r="E27" s="30" t="s">
        <v>20</v>
      </c>
      <c r="F27" s="29" t="str">
        <f t="shared" si="0"/>
        <v>08:30</v>
      </c>
      <c r="G27" s="29" t="str">
        <f t="shared" si="1"/>
        <v>17:30</v>
      </c>
      <c r="H27" s="29" t="str">
        <f t="shared" si="2"/>
        <v>9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7" customHeight="1">
      <c r="A28" s="16"/>
      <c r="B28" s="27" t="s">
        <v>24</v>
      </c>
      <c r="C28" s="40">
        <v>45947</v>
      </c>
      <c r="D28" s="41"/>
      <c r="E28" s="30" t="s">
        <v>20</v>
      </c>
      <c r="F28" s="29" t="str">
        <f t="shared" si="0"/>
        <v>08:30</v>
      </c>
      <c r="G28" s="29" t="str">
        <f t="shared" si="1"/>
        <v>17:30</v>
      </c>
      <c r="H28" s="29" t="str">
        <f t="shared" si="2"/>
        <v>9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7" customHeight="1">
      <c r="A29" s="16"/>
      <c r="B29" s="25" t="s">
        <v>25</v>
      </c>
      <c r="C29" s="42">
        <v>45948</v>
      </c>
      <c r="D29" s="43"/>
      <c r="E29" s="24" t="s">
        <v>20</v>
      </c>
      <c r="F29" s="31" t="str">
        <f t="shared" si="0"/>
        <v>Weekly Off</v>
      </c>
      <c r="G29" s="31" t="str">
        <f t="shared" si="1"/>
        <v>Weekly Off</v>
      </c>
      <c r="H29" s="31" t="str">
        <f t="shared" si="2"/>
        <v>0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7" customHeight="1">
      <c r="A30" s="26"/>
      <c r="B30" s="25" t="s">
        <v>26</v>
      </c>
      <c r="C30" s="42">
        <v>45949</v>
      </c>
      <c r="D30" s="43"/>
      <c r="E30" s="24" t="s">
        <v>20</v>
      </c>
      <c r="F30" s="31" t="str">
        <f t="shared" si="0"/>
        <v>Weekly Off</v>
      </c>
      <c r="G30" s="31" t="str">
        <f t="shared" si="1"/>
        <v>Weekly Off</v>
      </c>
      <c r="H30" s="31" t="str">
        <f t="shared" si="2"/>
        <v>0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7" customHeight="1">
      <c r="A31" s="16"/>
      <c r="B31" s="27" t="s">
        <v>19</v>
      </c>
      <c r="C31" s="40">
        <v>45950</v>
      </c>
      <c r="D31" s="41"/>
      <c r="E31" s="30" t="s">
        <v>20</v>
      </c>
      <c r="F31" s="29" t="s">
        <v>30</v>
      </c>
      <c r="G31" s="29" t="s">
        <v>30</v>
      </c>
      <c r="H31" s="29" t="str">
        <f t="shared" si="2"/>
        <v>0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7" customHeight="1">
      <c r="A32" s="16"/>
      <c r="B32" s="27" t="s">
        <v>21</v>
      </c>
      <c r="C32" s="40">
        <v>45951</v>
      </c>
      <c r="D32" s="41"/>
      <c r="E32" s="30" t="s">
        <v>20</v>
      </c>
      <c r="F32" s="29" t="s">
        <v>30</v>
      </c>
      <c r="G32" s="29" t="s">
        <v>30</v>
      </c>
      <c r="H32" s="29" t="str">
        <f t="shared" si="2"/>
        <v>0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7" customHeight="1">
      <c r="A33" s="16"/>
      <c r="B33" s="27" t="s">
        <v>22</v>
      </c>
      <c r="C33" s="40">
        <v>45952</v>
      </c>
      <c r="D33" s="41"/>
      <c r="E33" s="30" t="s">
        <v>20</v>
      </c>
      <c r="F33" s="29" t="s">
        <v>30</v>
      </c>
      <c r="G33" s="29" t="s">
        <v>30</v>
      </c>
      <c r="H33" s="29" t="str">
        <f t="shared" si="2"/>
        <v>0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7" customHeight="1">
      <c r="A34" s="16"/>
      <c r="B34" s="27" t="s">
        <v>23</v>
      </c>
      <c r="C34" s="40">
        <v>45953</v>
      </c>
      <c r="D34" s="41"/>
      <c r="E34" s="30" t="s">
        <v>20</v>
      </c>
      <c r="F34" s="29" t="s">
        <v>30</v>
      </c>
      <c r="G34" s="29" t="s">
        <v>30</v>
      </c>
      <c r="H34" s="29" t="str">
        <f t="shared" si="2"/>
        <v>0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7" customHeight="1">
      <c r="A35" s="16"/>
      <c r="B35" s="27" t="s">
        <v>24</v>
      </c>
      <c r="C35" s="40">
        <v>45954</v>
      </c>
      <c r="D35" s="41"/>
      <c r="E35" s="30" t="s">
        <v>20</v>
      </c>
      <c r="F35" s="29" t="s">
        <v>30</v>
      </c>
      <c r="G35" s="29" t="s">
        <v>30</v>
      </c>
      <c r="H35" s="29" t="str">
        <f t="shared" si="2"/>
        <v>0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7" customHeight="1">
      <c r="A36" s="16"/>
      <c r="B36" s="25" t="s">
        <v>25</v>
      </c>
      <c r="C36" s="42">
        <v>45955</v>
      </c>
      <c r="D36" s="43"/>
      <c r="E36" s="24" t="s">
        <v>20</v>
      </c>
      <c r="F36" s="31" t="str">
        <f t="shared" si="0"/>
        <v>Weekly Off</v>
      </c>
      <c r="G36" s="31" t="str">
        <f t="shared" si="1"/>
        <v>Weekly Off</v>
      </c>
      <c r="H36" s="31" t="str">
        <f t="shared" si="2"/>
        <v>0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7" customHeight="1">
      <c r="A37" s="26"/>
      <c r="B37" s="25" t="s">
        <v>26</v>
      </c>
      <c r="C37" s="42">
        <v>45956</v>
      </c>
      <c r="D37" s="43"/>
      <c r="E37" s="24" t="s">
        <v>20</v>
      </c>
      <c r="F37" s="31" t="str">
        <f t="shared" si="0"/>
        <v>Weekly Off</v>
      </c>
      <c r="G37" s="31" t="str">
        <f t="shared" si="1"/>
        <v>Weekly Off</v>
      </c>
      <c r="H37" s="31" t="str">
        <f t="shared" si="2"/>
        <v>0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7" customHeight="1">
      <c r="A38" s="16"/>
      <c r="B38" s="27" t="s">
        <v>19</v>
      </c>
      <c r="C38" s="40">
        <v>45957</v>
      </c>
      <c r="D38" s="41"/>
      <c r="E38" s="30" t="s">
        <v>20</v>
      </c>
      <c r="F38" s="29" t="str">
        <f t="shared" si="0"/>
        <v>08:30</v>
      </c>
      <c r="G38" s="29" t="str">
        <f t="shared" si="1"/>
        <v>17:30</v>
      </c>
      <c r="H38" s="29" t="str">
        <f t="shared" si="2"/>
        <v>9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7" customHeight="1">
      <c r="A39" s="16"/>
      <c r="B39" s="27" t="s">
        <v>21</v>
      </c>
      <c r="C39" s="40">
        <v>45958</v>
      </c>
      <c r="D39" s="41"/>
      <c r="E39" s="30" t="s">
        <v>20</v>
      </c>
      <c r="F39" s="29" t="str">
        <f t="shared" si="0"/>
        <v>08:30</v>
      </c>
      <c r="G39" s="29" t="str">
        <f t="shared" si="1"/>
        <v>17:30</v>
      </c>
      <c r="H39" s="29" t="str">
        <f t="shared" si="2"/>
        <v>9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7" customHeight="1">
      <c r="A40" s="16"/>
      <c r="B40" s="27" t="s">
        <v>22</v>
      </c>
      <c r="C40" s="40">
        <v>45959</v>
      </c>
      <c r="D40" s="41"/>
      <c r="E40" s="30" t="s">
        <v>20</v>
      </c>
      <c r="F40" s="29" t="str">
        <f t="shared" si="0"/>
        <v>08:30</v>
      </c>
      <c r="G40" s="29" t="str">
        <f t="shared" si="1"/>
        <v>17:30</v>
      </c>
      <c r="H40" s="29" t="str">
        <f t="shared" si="2"/>
        <v>9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7" customHeight="1">
      <c r="A41" s="16"/>
      <c r="B41" s="27" t="s">
        <v>23</v>
      </c>
      <c r="C41" s="40">
        <v>45960</v>
      </c>
      <c r="D41" s="41"/>
      <c r="E41" s="30" t="s">
        <v>20</v>
      </c>
      <c r="F41" s="29" t="str">
        <f t="shared" si="0"/>
        <v>08:30</v>
      </c>
      <c r="G41" s="29" t="str">
        <f t="shared" si="1"/>
        <v>17:30</v>
      </c>
      <c r="H41" s="29" t="str">
        <f t="shared" si="2"/>
        <v>9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7" customHeight="1">
      <c r="A42" s="16"/>
      <c r="B42" s="27" t="s">
        <v>24</v>
      </c>
      <c r="C42" s="40">
        <v>45961</v>
      </c>
      <c r="D42" s="41"/>
      <c r="E42" s="30" t="s">
        <v>20</v>
      </c>
      <c r="F42" s="29" t="str">
        <f>IF(OR(B42="Saturday", B42="Sunday"),"Weekly Off","08:30")</f>
        <v>08:30</v>
      </c>
      <c r="G42" s="29" t="str">
        <f>IF(OR(B42="Saturday", B42="Sunday"),"Weekly Off","17:30")</f>
        <v>17:30</v>
      </c>
      <c r="H42" s="29" t="str">
        <f>IF(G42="17:30", "9","0")</f>
        <v>9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7" customHeight="1">
      <c r="A43" s="16"/>
      <c r="B43" s="48"/>
      <c r="C43" s="49"/>
      <c r="D43" s="50"/>
      <c r="E43" s="51"/>
      <c r="F43" s="52"/>
      <c r="G43" s="52"/>
      <c r="H43" s="52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6.25" customHeight="1">
      <c r="A44" s="1"/>
      <c r="B44" s="19"/>
      <c r="C44" s="19"/>
      <c r="D44" s="19"/>
      <c r="E44" s="20" t="s">
        <v>27</v>
      </c>
      <c r="F44" s="44" t="s">
        <v>28</v>
      </c>
      <c r="G44" s="45"/>
      <c r="H44" s="21"/>
      <c r="I44" s="1"/>
      <c r="J44" s="1"/>
      <c r="K44" s="1"/>
      <c r="L44" s="1"/>
      <c r="M44" s="1"/>
      <c r="N44" s="1" t="str">
        <f t="array" aca="1" ref="N44" ca="1">N44:P44</f>
        <v>#REF!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22"/>
      <c r="G45" s="22"/>
      <c r="H45" s="2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>
      <c r="A46" s="1"/>
      <c r="B46" s="1"/>
      <c r="C46" s="1"/>
      <c r="D46" s="1"/>
      <c r="E46" s="1" t="s">
        <v>2</v>
      </c>
      <c r="F46" s="46" t="s">
        <v>3</v>
      </c>
      <c r="G46" s="47"/>
      <c r="H46" s="2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22"/>
      <c r="G47" s="22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39">
    <mergeCell ref="F46:G46"/>
    <mergeCell ref="C21:D21"/>
    <mergeCell ref="C22:D22"/>
    <mergeCell ref="C23:D23"/>
    <mergeCell ref="C24:D24"/>
    <mergeCell ref="C25:D25"/>
    <mergeCell ref="C26:D26"/>
    <mergeCell ref="C27:D27"/>
    <mergeCell ref="C33:D33"/>
    <mergeCell ref="C34:D34"/>
    <mergeCell ref="C35:D35"/>
    <mergeCell ref="C36:D36"/>
    <mergeCell ref="C37:D37"/>
    <mergeCell ref="C38:D38"/>
    <mergeCell ref="C39:D39"/>
    <mergeCell ref="C40:D40"/>
    <mergeCell ref="C29:D29"/>
    <mergeCell ref="C30:D30"/>
    <mergeCell ref="C31:D31"/>
    <mergeCell ref="C32:D32"/>
    <mergeCell ref="F44:G44"/>
    <mergeCell ref="C42:D42"/>
    <mergeCell ref="C41:D41"/>
    <mergeCell ref="C17:D17"/>
    <mergeCell ref="C18:D18"/>
    <mergeCell ref="C19:D19"/>
    <mergeCell ref="C20:D20"/>
    <mergeCell ref="C28:D28"/>
    <mergeCell ref="B11:D11"/>
    <mergeCell ref="C13:D13"/>
    <mergeCell ref="C14:D14"/>
    <mergeCell ref="C15:D15"/>
    <mergeCell ref="C16:D16"/>
    <mergeCell ref="C12:D12"/>
    <mergeCell ref="B1:E2"/>
    <mergeCell ref="F1:H1"/>
    <mergeCell ref="B4:E4"/>
    <mergeCell ref="B5:E5"/>
    <mergeCell ref="B7:E7"/>
  </mergeCells>
  <phoneticPr fontId="15" type="noConversion"/>
  <hyperlinks>
    <hyperlink ref="H8" r:id="rId1" xr:uid="{00000000-0004-0000-0000-000000000000}"/>
  </hyperlinks>
  <printOptions horizontalCentered="1"/>
  <pageMargins left="0.25" right="0.25" top="0.75" bottom="0.75" header="0" footer="0"/>
  <pageSetup orientation="portrait" r:id="rId2"/>
  <headerFooter>
    <oddFooter>&amp;L_x000D_&amp;1#&amp;"Calibri"&amp;8&amp;KFF0000 Classification: RAKBANK-Public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RAKBANK-Internal</attrValue>
  <customPropName>RAKBANK Classification</customPropName>
  <timestamp> 6/30/2025 9:34:32 AM</timestamp>
  <userName>WATANI_RAK\xnirajm</userName>
  <computerName>RBDT7238.RAKBANK.CO.AE</computerName>
  <guid>{9e30c3fa-c3ee-492c-bd30-c0594b70a134}</guid>
  <ftr>
    <r>
      <fontName>verdana</fontName>
      <fontColor>000000</fontColor>
      <fontSize>8</fontSize>
      <b/>
      <text xml:space="preserve">Classification:</text>
    </r>
    <r>
      <fontName>verdana</fontName>
      <fontColor>000000</fontColor>
      <fontSize>8</fontSize>
      <text xml:space="preserve"> </text>
    </r>
    <r>
      <fontName>verdana</fontName>
      <fontColor>FF0000</fontColor>
      <fontSize>8</fontSize>
      <b/>
      <text xml:space="preserve">RAKBANK-Internal</text>
    </r>
  </ftr>
</GTBClassification>
</file>

<file path=customXml/itemProps1.xml><?xml version="1.0" encoding="utf-8"?>
<ds:datastoreItem xmlns:ds="http://schemas.openxmlformats.org/officeDocument/2006/customXml" ds:itemID="{233EDB36-D57A-4287-BCCF-6C96F41696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keywords>ClassificationData:&lt;RAKBANK Classification:RAKBANK-Internal&gt;</cp:keywords>
  <cp:lastModifiedBy>Niraj Modi (Ext)</cp:lastModifiedBy>
  <dcterms:created xsi:type="dcterms:W3CDTF">2000-08-25T01:59:39Z</dcterms:created>
  <dcterms:modified xsi:type="dcterms:W3CDTF">2025-11-04T04:43:05Z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TC060888881033</vt:lpwstr>
  </property>
  <property fmtid="{D5CDD505-2E9C-101B-9397-08002B2CF9AE}" pid="3" name="RAKBANK Classification">
    <vt:lpwstr>RAKBANK-Internal</vt:lpwstr>
  </property>
  <property fmtid="{D5CDD505-2E9C-101B-9397-08002B2CF9AE}" pid="4" name="ClassifiedBy">
    <vt:lpwstr>WATANI_RAK\xnirajm</vt:lpwstr>
  </property>
  <property fmtid="{D5CDD505-2E9C-101B-9397-08002B2CF9AE}" pid="5" name="ClassificationHost">
    <vt:lpwstr>RBDT7238.RAKBANK.CO.AE</vt:lpwstr>
  </property>
  <property fmtid="{D5CDD505-2E9C-101B-9397-08002B2CF9AE}" pid="6" name="ClassificationDate">
    <vt:lpwstr> 6/30/2025 9:34:32 AM</vt:lpwstr>
  </property>
  <property fmtid="{D5CDD505-2E9C-101B-9397-08002B2CF9AE}" pid="7" name="ClassificationGUID">
    <vt:lpwstr>{9e30c3fa-c3ee-492c-bd30-c0594b70a134}</vt:lpwstr>
  </property>
  <property fmtid="{D5CDD505-2E9C-101B-9397-08002B2CF9AE}" pid="8" name="MSIP_Label_bcadd1a2-6e26-4a61-92f6-ecf6277308aa_Enabled">
    <vt:lpwstr>true</vt:lpwstr>
  </property>
  <property fmtid="{D5CDD505-2E9C-101B-9397-08002B2CF9AE}" pid="9" name="MSIP_Label_bcadd1a2-6e26-4a61-92f6-ecf6277308aa_SetDate">
    <vt:lpwstr>2025-06-30T05:34:48Z</vt:lpwstr>
  </property>
  <property fmtid="{D5CDD505-2E9C-101B-9397-08002B2CF9AE}" pid="10" name="MSIP_Label_bcadd1a2-6e26-4a61-92f6-ecf6277308aa_Method">
    <vt:lpwstr>Privileged</vt:lpwstr>
  </property>
  <property fmtid="{D5CDD505-2E9C-101B-9397-08002B2CF9AE}" pid="11" name="MSIP_Label_bcadd1a2-6e26-4a61-92f6-ecf6277308aa_Name">
    <vt:lpwstr>RAKBANK-Public (Files)</vt:lpwstr>
  </property>
  <property fmtid="{D5CDD505-2E9C-101B-9397-08002B2CF9AE}" pid="12" name="MSIP_Label_bcadd1a2-6e26-4a61-92f6-ecf6277308aa_SiteId">
    <vt:lpwstr>fbb70b95-2828-4ce3-90d5-c6e1ff243618</vt:lpwstr>
  </property>
  <property fmtid="{D5CDD505-2E9C-101B-9397-08002B2CF9AE}" pid="13" name="MSIP_Label_bcadd1a2-6e26-4a61-92f6-ecf6277308aa_ActionId">
    <vt:lpwstr>447946d3-ca2a-4363-a801-23c164a18534</vt:lpwstr>
  </property>
  <property fmtid="{D5CDD505-2E9C-101B-9397-08002B2CF9AE}" pid="14" name="MSIP_Label_bcadd1a2-6e26-4a61-92f6-ecf6277308aa_ContentBits">
    <vt:lpwstr>2</vt:lpwstr>
  </property>
</Properties>
</file>